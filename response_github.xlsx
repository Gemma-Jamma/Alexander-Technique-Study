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hackr-my.sharepoint.com/personal/ihlee2225_sch_ac_kr/Documents/IRB 3. P01-202308-06-002 교사/★4편 k-means cortisol/251012 알렉산더 테크닉/260306 PEERJ/"/>
    </mc:Choice>
  </mc:AlternateContent>
  <xr:revisionPtr revIDLastSave="98" documentId="8_{321B9C48-0C19-4047-B2E7-F4CA7DD33C40}" xr6:coauthVersionLast="47" xr6:coauthVersionMax="47" xr10:uidLastSave="{46E29EE3-3D80-4366-9288-AE002D1C262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2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<sst xmlns="http://schemas.openxmlformats.org/spreadsheetml/2006/main" count="13" uniqueCount="13">
  <si>
    <t>ID</t>
  </si>
  <si>
    <t>pre_cortisol</t>
  </si>
  <si>
    <t>post_cortisol</t>
  </si>
  <si>
    <t>pre_phq9</t>
  </si>
  <si>
    <t>post_phq9</t>
  </si>
  <si>
    <t>pre_gad7</t>
  </si>
  <si>
    <t>post_gad7</t>
  </si>
  <si>
    <t>gender</t>
    <phoneticPr fontId="1" type="noConversion"/>
  </si>
  <si>
    <t>YN</t>
    <phoneticPr fontId="1" type="noConversion"/>
  </si>
  <si>
    <t>Age</t>
  </si>
  <si>
    <t>Hight</t>
    <phoneticPr fontId="1" type="noConversion"/>
  </si>
  <si>
    <t>Weight</t>
    <phoneticPr fontId="1" type="noConversion"/>
  </si>
  <si>
    <t>BMI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</si>
</sst>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workbookViewId="0">
      <selection activeCell="H9" sqref="H9"/>
    </sheetView>
  </sheetViews>
  <sheetFormatPr defaultRowHeight="16.5"/>
  <cols>
    <col min="1" max="1" width="8.875" customWidth="1"/>
    <col min="2" max="2" width="12.125" customWidth="1"/>
    <col min="3" max="3" width="12.625" customWidth="1"/>
    <col min="4" max="4" width="10.25" customWidth="1"/>
    <col min="5" max="5" width="10.5" customWidth="1"/>
    <col min="6" max="6" width="10.875" customWidth="1"/>
    <col min="7" max="7" width="11.25" customWidth="1"/>
    <col min="8" max="8" width="15.25" style="1" customWidth="1"/>
    <col min="9" max="9" width="16.5" style="1" customWidth="1"/>
    <col min="10" max="10" width="12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6">
        <f>ROW(A1)</f>
        <v>1</v>
      </c>
      <c r="B2" s="6">
        <v>0.28899999999999998</v>
      </c>
      <c r="C2" s="6">
        <v>0.14899999999999999</v>
      </c>
      <c r="D2" s="6">
        <v>14</v>
      </c>
      <c r="E2" s="6">
        <v>4</v>
      </c>
      <c r="F2" s="6">
        <v>10</v>
      </c>
      <c r="G2" s="6">
        <v>10</v>
      </c>
      <c r="H2" s="7">
        <v>1</v>
      </c>
      <c r="I2" s="7">
        <v>1</v>
      </c>
      <c r="J2" s="8">
        <v>12.3</v>
      </c>
      <c r="K2" s="8">
        <v>148.4</v>
      </c>
      <c r="L2" s="8">
        <v>46.5</v>
      </c>
      <c r="M2" s="6">
        <f>L2/(K2/100)^2</f>
        <v>21.114711459521512</v>
      </c>
    </row>
    <row r="3" spans="1:13">
      <c r="A3" s="6">
        <f t="shared" ref="A3:A47" si="0">ROW(A2)</f>
        <v>2</v>
      </c>
      <c r="B3" s="6">
        <v>0.23899999999999999</v>
      </c>
      <c r="C3" s="6">
        <v>0.15</v>
      </c>
      <c r="D3" s="6">
        <v>7</v>
      </c>
      <c r="E3" s="6">
        <v>6</v>
      </c>
      <c r="F3" s="6">
        <v>4</v>
      </c>
      <c r="G3" s="6">
        <v>11</v>
      </c>
      <c r="H3" s="7">
        <v>1</v>
      </c>
      <c r="I3" s="7">
        <v>1</v>
      </c>
      <c r="J3" s="8">
        <v>12.7</v>
      </c>
      <c r="K3" s="8">
        <v>168.9</v>
      </c>
      <c r="L3" s="8">
        <v>53.6</v>
      </c>
      <c r="M3" s="6">
        <f t="shared" ref="M3:M25" si="1">L3/(K3/100)^2</f>
        <v>18.789078917987421</v>
      </c>
    </row>
    <row r="4" spans="1:13">
      <c r="A4" s="6">
        <f t="shared" si="0"/>
        <v>3</v>
      </c>
      <c r="B4" s="6">
        <v>0.66800000000000004</v>
      </c>
      <c r="C4" s="6">
        <v>0.70499999999999996</v>
      </c>
      <c r="D4" s="6">
        <v>4</v>
      </c>
      <c r="E4" s="6">
        <v>2</v>
      </c>
      <c r="F4" s="6">
        <v>2</v>
      </c>
      <c r="G4" s="6">
        <v>1</v>
      </c>
      <c r="H4" s="7">
        <v>1</v>
      </c>
      <c r="I4" s="7">
        <v>2</v>
      </c>
      <c r="J4" s="8">
        <v>12.5</v>
      </c>
      <c r="K4" s="8">
        <v>155.5</v>
      </c>
      <c r="L4" s="8">
        <v>46.7</v>
      </c>
      <c r="M4" s="6">
        <f t="shared" si="1"/>
        <v>19.313282534299692</v>
      </c>
    </row>
    <row r="5" spans="1:13">
      <c r="A5" s="6">
        <f t="shared" si="0"/>
        <v>4</v>
      </c>
      <c r="B5" s="6">
        <v>0.46200000000000002</v>
      </c>
      <c r="C5" s="6">
        <v>0.40300000000000002</v>
      </c>
      <c r="D5" s="6">
        <v>11</v>
      </c>
      <c r="E5" s="6">
        <v>2</v>
      </c>
      <c r="F5" s="6">
        <v>7</v>
      </c>
      <c r="G5" s="6">
        <v>1</v>
      </c>
      <c r="H5" s="7">
        <v>1</v>
      </c>
      <c r="I5" s="7">
        <v>2</v>
      </c>
      <c r="J5" s="8">
        <v>13.1</v>
      </c>
      <c r="K5" s="8">
        <v>164.6</v>
      </c>
      <c r="L5" s="8">
        <v>73.900000000000006</v>
      </c>
      <c r="M5" s="6">
        <f t="shared" si="1"/>
        <v>27.276257180779211</v>
      </c>
    </row>
    <row r="6" spans="1:13">
      <c r="A6" s="6">
        <f t="shared" si="0"/>
        <v>5</v>
      </c>
      <c r="B6" s="6">
        <v>0.28799999999999998</v>
      </c>
      <c r="C6" s="6">
        <v>0.26500000000000001</v>
      </c>
      <c r="D6" s="6">
        <v>12</v>
      </c>
      <c r="E6" s="6">
        <v>3</v>
      </c>
      <c r="F6" s="6">
        <v>5</v>
      </c>
      <c r="G6" s="6">
        <v>2</v>
      </c>
      <c r="H6" s="7">
        <v>1</v>
      </c>
      <c r="I6" s="7">
        <v>1</v>
      </c>
      <c r="J6" s="8">
        <v>13.2</v>
      </c>
      <c r="K6" s="8">
        <v>155.30000000000001</v>
      </c>
      <c r="L6" s="8">
        <v>57.2</v>
      </c>
      <c r="M6" s="6">
        <f t="shared" si="1"/>
        <v>23.716637594436374</v>
      </c>
    </row>
    <row r="7" spans="1:13">
      <c r="A7" s="6">
        <f t="shared" si="0"/>
        <v>6</v>
      </c>
      <c r="B7" s="6">
        <v>0.27800000000000002</v>
      </c>
      <c r="C7" s="6">
        <v>0.186</v>
      </c>
      <c r="D7" s="6">
        <v>13</v>
      </c>
      <c r="E7" s="6">
        <v>8</v>
      </c>
      <c r="F7" s="6">
        <v>4</v>
      </c>
      <c r="G7" s="6">
        <v>7</v>
      </c>
      <c r="H7" s="7">
        <v>0</v>
      </c>
      <c r="I7" s="7">
        <v>2</v>
      </c>
      <c r="J7" s="8">
        <v>12.8</v>
      </c>
      <c r="K7" s="8">
        <v>150.6</v>
      </c>
      <c r="L7" s="8">
        <v>38.6</v>
      </c>
      <c r="M7" s="6">
        <f t="shared" si="1"/>
        <v>17.019130207809752</v>
      </c>
    </row>
    <row r="8" spans="1:13">
      <c r="A8" s="6">
        <f t="shared" si="0"/>
        <v>7</v>
      </c>
      <c r="B8" s="6">
        <v>0.16300000000000001</v>
      </c>
      <c r="C8" s="6">
        <v>0.27500000000000002</v>
      </c>
      <c r="D8" s="6">
        <v>3</v>
      </c>
      <c r="E8" s="6">
        <v>1</v>
      </c>
      <c r="F8" s="6">
        <v>1</v>
      </c>
      <c r="G8" s="6">
        <v>0</v>
      </c>
      <c r="H8" s="7">
        <v>0</v>
      </c>
      <c r="I8" s="7">
        <v>2</v>
      </c>
      <c r="J8" s="8">
        <v>12.5</v>
      </c>
      <c r="K8" s="8">
        <v>160.4</v>
      </c>
      <c r="L8" s="8">
        <v>43.7</v>
      </c>
      <c r="M8" s="6">
        <f t="shared" si="1"/>
        <v>16.985279942288916</v>
      </c>
    </row>
    <row r="9" spans="1:13">
      <c r="A9" s="6">
        <f t="shared" si="0"/>
        <v>8</v>
      </c>
      <c r="B9" s="6">
        <v>0.20100000000000001</v>
      </c>
      <c r="C9" s="6">
        <v>0.29599999999999999</v>
      </c>
      <c r="D9" s="6">
        <v>3</v>
      </c>
      <c r="E9" s="6">
        <v>0</v>
      </c>
      <c r="F9" s="6">
        <v>1</v>
      </c>
      <c r="G9" s="6">
        <v>0</v>
      </c>
      <c r="H9" s="7">
        <v>1</v>
      </c>
      <c r="I9" s="7">
        <v>2</v>
      </c>
      <c r="J9" s="8">
        <v>13.1</v>
      </c>
      <c r="K9" s="8">
        <v>151.5</v>
      </c>
      <c r="L9" s="8">
        <v>45.6</v>
      </c>
      <c r="M9" s="6">
        <f t="shared" si="1"/>
        <v>19.867333267980264</v>
      </c>
    </row>
    <row r="10" spans="1:13">
      <c r="A10" s="6">
        <f t="shared" si="0"/>
        <v>9</v>
      </c>
      <c r="B10" s="6">
        <v>0.60699999999999998</v>
      </c>
      <c r="C10" s="6">
        <v>0.504</v>
      </c>
      <c r="D10" s="6">
        <v>2</v>
      </c>
      <c r="E10" s="6">
        <v>4</v>
      </c>
      <c r="F10" s="6">
        <v>0</v>
      </c>
      <c r="G10" s="6">
        <v>2</v>
      </c>
      <c r="H10" s="7">
        <v>1</v>
      </c>
      <c r="I10" s="7">
        <v>1</v>
      </c>
      <c r="J10" s="8">
        <v>12.5</v>
      </c>
      <c r="K10" s="8">
        <v>151.80000000000001</v>
      </c>
      <c r="L10" s="8">
        <v>44.9</v>
      </c>
      <c r="M10" s="6">
        <f t="shared" si="1"/>
        <v>19.485107129032198</v>
      </c>
    </row>
    <row r="11" spans="1:13">
      <c r="A11" s="6">
        <f t="shared" si="0"/>
        <v>10</v>
      </c>
      <c r="B11" s="6">
        <v>0.435</v>
      </c>
      <c r="C11" s="6">
        <v>0.51300000000000001</v>
      </c>
      <c r="D11" s="6">
        <v>0</v>
      </c>
      <c r="E11" s="6">
        <v>11</v>
      </c>
      <c r="F11" s="6">
        <v>0</v>
      </c>
      <c r="G11" s="6">
        <v>1</v>
      </c>
      <c r="H11" s="7">
        <v>0</v>
      </c>
      <c r="I11" s="7">
        <v>1</v>
      </c>
      <c r="J11" s="8">
        <v>13.1</v>
      </c>
      <c r="K11" s="8">
        <v>167.4</v>
      </c>
      <c r="L11" s="8">
        <v>53.2</v>
      </c>
      <c r="M11" s="6">
        <f t="shared" si="1"/>
        <v>18.984568258087354</v>
      </c>
    </row>
    <row r="12" spans="1:13">
      <c r="A12" s="6">
        <f t="shared" si="0"/>
        <v>11</v>
      </c>
      <c r="B12" s="6">
        <v>0.28299999999999997</v>
      </c>
      <c r="C12" s="6">
        <v>0.20499999999999999</v>
      </c>
      <c r="D12" s="6">
        <v>0</v>
      </c>
      <c r="E12" s="6">
        <v>0</v>
      </c>
      <c r="F12" s="6">
        <v>1</v>
      </c>
      <c r="G12" s="6">
        <v>0</v>
      </c>
      <c r="H12" s="7">
        <v>0</v>
      </c>
      <c r="I12" s="7">
        <v>2</v>
      </c>
      <c r="J12" s="8">
        <v>13.2</v>
      </c>
      <c r="K12" s="8">
        <v>169.5</v>
      </c>
      <c r="L12" s="8">
        <v>63.6</v>
      </c>
      <c r="M12" s="6">
        <f t="shared" si="1"/>
        <v>22.136946250032629</v>
      </c>
    </row>
    <row r="13" spans="1:13">
      <c r="A13" s="6">
        <f t="shared" si="0"/>
        <v>12</v>
      </c>
      <c r="B13" s="6">
        <v>0.307</v>
      </c>
      <c r="C13" s="6">
        <v>0.36899999999999999</v>
      </c>
      <c r="D13" s="6">
        <v>7</v>
      </c>
      <c r="E13" s="6">
        <v>0</v>
      </c>
      <c r="F13" s="6">
        <v>0</v>
      </c>
      <c r="G13" s="6">
        <v>1</v>
      </c>
      <c r="H13" s="7">
        <v>0</v>
      </c>
      <c r="I13" s="7">
        <v>2</v>
      </c>
      <c r="J13" s="8">
        <v>13</v>
      </c>
      <c r="K13" s="8">
        <v>154.1</v>
      </c>
      <c r="L13" s="8">
        <v>65.5</v>
      </c>
      <c r="M13" s="6">
        <f t="shared" si="1"/>
        <v>27.582652154120915</v>
      </c>
    </row>
    <row r="14" spans="1:13">
      <c r="A14" s="6">
        <f t="shared" si="0"/>
        <v>13</v>
      </c>
      <c r="B14" s="6">
        <v>0.17599999999999999</v>
      </c>
      <c r="C14" s="6">
        <v>0.214</v>
      </c>
      <c r="D14" s="6">
        <v>2</v>
      </c>
      <c r="E14" s="6">
        <v>8</v>
      </c>
      <c r="F14" s="6">
        <v>2</v>
      </c>
      <c r="G14" s="6">
        <v>2</v>
      </c>
      <c r="H14" s="7">
        <v>0</v>
      </c>
      <c r="I14" s="7">
        <v>1</v>
      </c>
      <c r="J14" s="8">
        <v>12.7</v>
      </c>
      <c r="K14" s="8">
        <v>148.30000000000001</v>
      </c>
      <c r="L14" s="8">
        <v>41.3</v>
      </c>
      <c r="M14" s="6">
        <f t="shared" si="1"/>
        <v>18.778796238238808</v>
      </c>
    </row>
    <row r="15" spans="1:13">
      <c r="A15" s="6">
        <f t="shared" si="0"/>
        <v>14</v>
      </c>
      <c r="B15" s="6">
        <v>0.502</v>
      </c>
      <c r="C15" s="6">
        <v>0.34699999999999998</v>
      </c>
      <c r="D15" s="6">
        <v>7</v>
      </c>
      <c r="E15" s="6">
        <v>2</v>
      </c>
      <c r="F15" s="6">
        <v>8</v>
      </c>
      <c r="G15" s="6">
        <v>0</v>
      </c>
      <c r="H15" s="7">
        <v>0</v>
      </c>
      <c r="I15" s="7">
        <v>2</v>
      </c>
      <c r="J15" s="8">
        <v>12.8</v>
      </c>
      <c r="K15" s="8">
        <v>154.4</v>
      </c>
      <c r="L15" s="8">
        <v>52.9</v>
      </c>
      <c r="M15" s="6">
        <f t="shared" si="1"/>
        <v>22.190193025316113</v>
      </c>
    </row>
    <row r="16" spans="1:13">
      <c r="A16" s="6">
        <f t="shared" si="0"/>
        <v>15</v>
      </c>
      <c r="B16" s="6">
        <v>0.20100000000000001</v>
      </c>
      <c r="C16" s="6">
        <v>0.249</v>
      </c>
      <c r="D16" s="6">
        <v>3</v>
      </c>
      <c r="E16" s="6">
        <v>0</v>
      </c>
      <c r="F16" s="6">
        <v>1</v>
      </c>
      <c r="G16" s="6">
        <v>0</v>
      </c>
      <c r="H16" s="7">
        <v>0</v>
      </c>
      <c r="I16" s="7">
        <v>2</v>
      </c>
      <c r="J16" s="8">
        <v>12.9</v>
      </c>
      <c r="K16" s="8">
        <v>167.7</v>
      </c>
      <c r="L16" s="8">
        <v>47.7</v>
      </c>
      <c r="M16" s="6">
        <f t="shared" si="1"/>
        <v>16.961031230698833</v>
      </c>
    </row>
    <row r="17" spans="1:13">
      <c r="A17" s="6">
        <f t="shared" si="0"/>
        <v>16</v>
      </c>
      <c r="B17" s="6">
        <v>0.247</v>
      </c>
      <c r="C17" s="6">
        <v>7.1999999999999995E-2</v>
      </c>
      <c r="D17" s="6">
        <v>2</v>
      </c>
      <c r="E17" s="6">
        <v>4</v>
      </c>
      <c r="F17" s="6">
        <v>3</v>
      </c>
      <c r="G17" s="6">
        <v>2</v>
      </c>
      <c r="H17" s="7">
        <v>1</v>
      </c>
      <c r="I17" s="7">
        <v>1</v>
      </c>
      <c r="J17" s="8">
        <v>12.9</v>
      </c>
      <c r="K17" s="8">
        <v>160.69999999999999</v>
      </c>
      <c r="L17" s="8">
        <v>49.3</v>
      </c>
      <c r="M17" s="6">
        <f t="shared" si="1"/>
        <v>19.090406044804755</v>
      </c>
    </row>
    <row r="18" spans="1:13">
      <c r="A18" s="6">
        <f t="shared" si="0"/>
        <v>17</v>
      </c>
      <c r="B18" s="6">
        <v>0.28799999999999998</v>
      </c>
      <c r="C18" s="6">
        <v>0.23599999999999999</v>
      </c>
      <c r="D18" s="6">
        <v>12</v>
      </c>
      <c r="E18" s="6">
        <v>3</v>
      </c>
      <c r="F18" s="6">
        <v>5</v>
      </c>
      <c r="G18" s="6">
        <v>2</v>
      </c>
      <c r="H18" s="7">
        <v>1</v>
      </c>
      <c r="I18" s="7">
        <v>2</v>
      </c>
      <c r="J18" s="8">
        <v>12.6</v>
      </c>
      <c r="K18" s="8">
        <v>158.69999999999999</v>
      </c>
      <c r="L18" s="8">
        <v>61.1</v>
      </c>
      <c r="M18" s="6">
        <f t="shared" si="1"/>
        <v>24.259807851204396</v>
      </c>
    </row>
    <row r="19" spans="1:13">
      <c r="A19" s="6">
        <f t="shared" si="0"/>
        <v>18</v>
      </c>
      <c r="B19" s="6">
        <v>0.121</v>
      </c>
      <c r="C19" s="6">
        <v>0.216</v>
      </c>
      <c r="D19" s="6">
        <v>9</v>
      </c>
      <c r="E19" s="6">
        <v>8</v>
      </c>
      <c r="F19" s="6">
        <v>6</v>
      </c>
      <c r="G19" s="6">
        <v>1</v>
      </c>
      <c r="H19" s="7">
        <v>1</v>
      </c>
      <c r="I19" s="7">
        <v>2</v>
      </c>
      <c r="J19" s="8">
        <v>12.6</v>
      </c>
      <c r="K19" s="8">
        <v>165.3</v>
      </c>
      <c r="L19" s="8">
        <v>57.9</v>
      </c>
      <c r="M19" s="6">
        <f t="shared" si="1"/>
        <v>21.190092698421061</v>
      </c>
    </row>
    <row r="20" spans="1:13">
      <c r="A20" s="6">
        <f t="shared" si="0"/>
        <v>19</v>
      </c>
      <c r="B20" s="6">
        <v>0.30399999999999999</v>
      </c>
      <c r="C20" s="6">
        <v>0.313</v>
      </c>
      <c r="D20" s="6">
        <v>5</v>
      </c>
      <c r="E20" s="6">
        <v>10</v>
      </c>
      <c r="F20" s="6">
        <v>0</v>
      </c>
      <c r="G20" s="6">
        <v>7</v>
      </c>
      <c r="H20" s="7">
        <v>1</v>
      </c>
      <c r="I20" s="7">
        <v>2</v>
      </c>
      <c r="J20" s="8">
        <v>13.1</v>
      </c>
      <c r="K20" s="8">
        <v>157.6</v>
      </c>
      <c r="L20" s="8">
        <v>63</v>
      </c>
      <c r="M20" s="6">
        <f t="shared" si="1"/>
        <v>25.364606148058446</v>
      </c>
    </row>
    <row r="21" spans="1:13">
      <c r="A21" s="6">
        <f t="shared" si="0"/>
        <v>20</v>
      </c>
      <c r="B21" s="6">
        <v>0.29899999999999999</v>
      </c>
      <c r="C21" s="6">
        <v>0.57599999999999996</v>
      </c>
      <c r="D21" s="6">
        <v>2</v>
      </c>
      <c r="E21" s="6">
        <v>0</v>
      </c>
      <c r="F21" s="6">
        <v>4</v>
      </c>
      <c r="G21" s="6">
        <v>1</v>
      </c>
      <c r="H21" s="7">
        <v>1</v>
      </c>
      <c r="I21" s="7">
        <v>2</v>
      </c>
      <c r="J21" s="8">
        <v>12.8</v>
      </c>
      <c r="K21" s="8">
        <v>165.1</v>
      </c>
      <c r="L21" s="8">
        <v>54.1</v>
      </c>
      <c r="M21" s="6">
        <f t="shared" si="1"/>
        <v>19.847376972860452</v>
      </c>
    </row>
    <row r="22" spans="1:13">
      <c r="A22" s="6">
        <f t="shared" si="0"/>
        <v>21</v>
      </c>
      <c r="B22" s="6">
        <v>0.222</v>
      </c>
      <c r="C22" s="6">
        <v>0.53800000000000003</v>
      </c>
      <c r="D22" s="6">
        <v>2</v>
      </c>
      <c r="E22" s="6">
        <v>2</v>
      </c>
      <c r="F22" s="6">
        <v>2</v>
      </c>
      <c r="G22" s="6">
        <v>2</v>
      </c>
      <c r="H22" s="7">
        <v>0</v>
      </c>
      <c r="I22" s="7">
        <v>2</v>
      </c>
      <c r="J22" s="8">
        <v>12.3</v>
      </c>
      <c r="K22" s="8">
        <v>147.4</v>
      </c>
      <c r="L22" s="8">
        <v>59.2</v>
      </c>
      <c r="M22" s="6">
        <f t="shared" si="1"/>
        <v>27.247504920199791</v>
      </c>
    </row>
    <row r="23" spans="1:13">
      <c r="A23" s="6">
        <f t="shared" si="0"/>
        <v>22</v>
      </c>
      <c r="B23" s="6">
        <v>0.67800000000000005</v>
      </c>
      <c r="C23" s="6">
        <v>0.17</v>
      </c>
      <c r="D23" s="6">
        <v>4</v>
      </c>
      <c r="E23" s="6">
        <v>8</v>
      </c>
      <c r="F23" s="6">
        <v>6</v>
      </c>
      <c r="G23" s="6">
        <v>5</v>
      </c>
      <c r="H23" s="7">
        <v>0</v>
      </c>
      <c r="I23" s="7">
        <v>2</v>
      </c>
      <c r="J23" s="8">
        <v>12.5</v>
      </c>
      <c r="K23" s="8">
        <v>151.5</v>
      </c>
      <c r="L23" s="8">
        <v>52.8</v>
      </c>
      <c r="M23" s="6">
        <f t="shared" si="1"/>
        <v>23.004280626082412</v>
      </c>
    </row>
    <row r="24" spans="1:13">
      <c r="A24" s="6">
        <f t="shared" si="0"/>
        <v>23</v>
      </c>
      <c r="B24" s="6">
        <v>0.21199999999999999</v>
      </c>
      <c r="C24" s="6">
        <v>0.23</v>
      </c>
      <c r="D24" s="6">
        <v>1</v>
      </c>
      <c r="E24" s="6">
        <v>1</v>
      </c>
      <c r="F24" s="6">
        <v>0</v>
      </c>
      <c r="G24" s="6">
        <v>0</v>
      </c>
      <c r="H24" s="7">
        <v>0</v>
      </c>
      <c r="I24" s="7">
        <v>2</v>
      </c>
      <c r="J24" s="8">
        <v>12.8</v>
      </c>
      <c r="K24" s="8">
        <v>157.6</v>
      </c>
      <c r="L24" s="8">
        <v>76.2</v>
      </c>
      <c r="M24" s="6">
        <f t="shared" si="1"/>
        <v>30.679095055270693</v>
      </c>
    </row>
    <row r="25" spans="1:13">
      <c r="A25" s="6">
        <f t="shared" si="0"/>
        <v>24</v>
      </c>
      <c r="B25" s="6">
        <v>0.17799999999999999</v>
      </c>
      <c r="C25" s="6">
        <v>0.41</v>
      </c>
      <c r="D25" s="6">
        <v>0</v>
      </c>
      <c r="E25" s="6">
        <v>2</v>
      </c>
      <c r="F25" s="6">
        <v>6</v>
      </c>
      <c r="G25" s="6">
        <v>1</v>
      </c>
      <c r="H25" s="7">
        <v>0</v>
      </c>
      <c r="I25" s="7">
        <v>2</v>
      </c>
      <c r="J25" s="8">
        <v>13</v>
      </c>
      <c r="K25" s="8">
        <v>172.9</v>
      </c>
      <c r="L25" s="8">
        <v>74.8</v>
      </c>
      <c r="M25" s="6">
        <f t="shared" si="1"/>
        <v>25.021400321999998</v>
      </c>
    </row>
    <row r="26" spans="1:13">
      <c r="A26" s="6">
        <f t="shared" si="0"/>
        <v>25</v>
      </c>
      <c r="B26" s="6">
        <v>0.20499999999999999</v>
      </c>
      <c r="C26" s="6">
        <v>0.318</v>
      </c>
      <c r="D26" s="6">
        <v>0</v>
      </c>
      <c r="E26" s="6">
        <v>11</v>
      </c>
      <c r="F26" s="6">
        <v>0</v>
      </c>
      <c r="G26" s="6">
        <v>7</v>
      </c>
      <c r="H26" s="7">
        <v>0</v>
      </c>
      <c r="I26" s="7">
        <v>2</v>
      </c>
      <c r="J26" s="8">
        <v>12.1</v>
      </c>
      <c r="K26" s="8">
        <v>148.30000000000001</v>
      </c>
      <c r="L26" s="8">
        <v>63.6</v>
      </c>
      <c r="M26" s="6">
        <v>28.93</v>
      </c>
    </row>
    <row r="27" spans="1:13">
      <c r="A27" s="6">
        <f t="shared" si="0"/>
        <v>26</v>
      </c>
      <c r="B27" s="6">
        <v>0.16500000000000001</v>
      </c>
      <c r="C27" s="6">
        <v>0.23499999999999999</v>
      </c>
      <c r="D27" s="6">
        <v>10</v>
      </c>
      <c r="E27" s="6">
        <v>3</v>
      </c>
      <c r="F27" s="6">
        <v>3</v>
      </c>
      <c r="G27" s="6">
        <v>8</v>
      </c>
      <c r="H27" s="7">
        <v>0</v>
      </c>
      <c r="I27" s="7">
        <v>2</v>
      </c>
      <c r="J27" s="8">
        <v>12.7</v>
      </c>
      <c r="K27" s="8">
        <v>163.6</v>
      </c>
      <c r="L27" s="8">
        <v>64.400000000000006</v>
      </c>
      <c r="M27" s="6">
        <f t="shared" ref="M27:M47" si="2">L27/(K27/100)^2</f>
        <v>24.06131001129836</v>
      </c>
    </row>
    <row r="28" spans="1:13">
      <c r="A28" s="6">
        <f t="shared" si="0"/>
        <v>27</v>
      </c>
      <c r="B28" s="6">
        <v>9.8000000000000004E-2</v>
      </c>
      <c r="C28" s="6">
        <v>0.191</v>
      </c>
      <c r="D28" s="6">
        <v>2</v>
      </c>
      <c r="E28" s="6">
        <v>3</v>
      </c>
      <c r="F28" s="6">
        <v>2</v>
      </c>
      <c r="G28" s="6">
        <v>2</v>
      </c>
      <c r="H28" s="7">
        <v>1</v>
      </c>
      <c r="I28" s="7">
        <v>2</v>
      </c>
      <c r="J28" s="8">
        <v>12.9</v>
      </c>
      <c r="K28" s="8">
        <v>147.5</v>
      </c>
      <c r="L28" s="8">
        <v>36</v>
      </c>
      <c r="M28" s="6">
        <f t="shared" si="2"/>
        <v>16.546969261706405</v>
      </c>
    </row>
    <row r="29" spans="1:13">
      <c r="A29" s="6">
        <f t="shared" si="0"/>
        <v>28</v>
      </c>
      <c r="B29" s="6">
        <v>0.158</v>
      </c>
      <c r="C29" s="6">
        <v>0.42299999999999999</v>
      </c>
      <c r="D29" s="6">
        <v>2</v>
      </c>
      <c r="E29" s="6">
        <v>3</v>
      </c>
      <c r="F29" s="6">
        <v>0</v>
      </c>
      <c r="G29" s="6">
        <v>0</v>
      </c>
      <c r="H29" s="7">
        <v>1</v>
      </c>
      <c r="I29" s="7">
        <v>2</v>
      </c>
      <c r="J29" s="8">
        <v>12.3</v>
      </c>
      <c r="K29" s="8">
        <v>154.30000000000001</v>
      </c>
      <c r="L29" s="8">
        <v>45.6</v>
      </c>
      <c r="M29" s="6">
        <f t="shared" si="2"/>
        <v>19.152831615948763</v>
      </c>
    </row>
    <row r="30" spans="1:13">
      <c r="A30" s="6">
        <f t="shared" si="0"/>
        <v>29</v>
      </c>
      <c r="B30" s="6">
        <v>0.44</v>
      </c>
      <c r="C30" s="6">
        <v>0.32700000000000001</v>
      </c>
      <c r="D30" s="6">
        <v>1</v>
      </c>
      <c r="E30" s="6">
        <v>6</v>
      </c>
      <c r="F30" s="6">
        <v>0</v>
      </c>
      <c r="G30" s="6">
        <v>2</v>
      </c>
      <c r="H30" s="7">
        <v>1</v>
      </c>
      <c r="I30" s="7">
        <v>1</v>
      </c>
      <c r="J30" s="8">
        <v>12.4</v>
      </c>
      <c r="K30" s="8">
        <v>155.5</v>
      </c>
      <c r="L30" s="8">
        <v>45.1</v>
      </c>
      <c r="M30" s="6">
        <f t="shared" si="2"/>
        <v>18.651585488156659</v>
      </c>
    </row>
    <row r="31" spans="1:13">
      <c r="A31" s="6">
        <f t="shared" si="0"/>
        <v>30</v>
      </c>
      <c r="B31" s="6">
        <v>0.38700000000000001</v>
      </c>
      <c r="C31" s="6">
        <v>0.28599999999999998</v>
      </c>
      <c r="D31" s="6">
        <v>4</v>
      </c>
      <c r="E31" s="6">
        <v>8</v>
      </c>
      <c r="F31" s="6">
        <v>3</v>
      </c>
      <c r="G31" s="6">
        <v>4</v>
      </c>
      <c r="H31" s="7">
        <v>1</v>
      </c>
      <c r="I31" s="7">
        <v>1</v>
      </c>
      <c r="J31" s="8">
        <v>12.8</v>
      </c>
      <c r="K31" s="8">
        <v>149.5</v>
      </c>
      <c r="L31" s="8">
        <v>48</v>
      </c>
      <c r="M31" s="6">
        <f t="shared" si="2"/>
        <v>21.476269840382095</v>
      </c>
    </row>
    <row r="32" spans="1:13">
      <c r="A32" s="6">
        <f t="shared" si="0"/>
        <v>31</v>
      </c>
      <c r="B32" s="6">
        <v>0.16900000000000001</v>
      </c>
      <c r="C32" s="6">
        <v>0.28399999999999997</v>
      </c>
      <c r="D32" s="6">
        <v>0</v>
      </c>
      <c r="E32" s="6">
        <v>2</v>
      </c>
      <c r="F32" s="6">
        <v>3</v>
      </c>
      <c r="G32" s="6">
        <v>1</v>
      </c>
      <c r="H32" s="7">
        <v>1</v>
      </c>
      <c r="I32" s="7">
        <v>1</v>
      </c>
      <c r="J32" s="8">
        <v>12.8</v>
      </c>
      <c r="K32" s="8">
        <v>158.80000000000001</v>
      </c>
      <c r="L32" s="8">
        <v>49.2</v>
      </c>
      <c r="M32" s="6">
        <f t="shared" si="2"/>
        <v>19.510307152510325</v>
      </c>
    </row>
    <row r="33" spans="1:13">
      <c r="A33" s="6">
        <f t="shared" si="0"/>
        <v>32</v>
      </c>
      <c r="B33" s="6">
        <v>0.16300000000000001</v>
      </c>
      <c r="C33" s="6">
        <v>0.21</v>
      </c>
      <c r="D33" s="6">
        <v>0</v>
      </c>
      <c r="E33" s="6">
        <v>0</v>
      </c>
      <c r="F33" s="6">
        <v>0</v>
      </c>
      <c r="G33" s="6">
        <v>0</v>
      </c>
      <c r="H33" s="7">
        <v>0</v>
      </c>
      <c r="I33" s="7">
        <v>1</v>
      </c>
      <c r="J33" s="8">
        <v>12.3</v>
      </c>
      <c r="K33" s="8">
        <v>150.69999999999999</v>
      </c>
      <c r="L33" s="8">
        <v>65.599999999999994</v>
      </c>
      <c r="M33" s="6">
        <f t="shared" si="2"/>
        <v>28.885330083146602</v>
      </c>
    </row>
    <row r="34" spans="1:13">
      <c r="A34" s="6">
        <f t="shared" si="0"/>
        <v>33</v>
      </c>
      <c r="B34" s="6">
        <v>0.19</v>
      </c>
      <c r="C34" s="6">
        <v>0.36899999999999999</v>
      </c>
      <c r="D34" s="6">
        <v>8</v>
      </c>
      <c r="E34" s="6">
        <v>2</v>
      </c>
      <c r="F34" s="6">
        <v>8</v>
      </c>
      <c r="G34" s="6">
        <v>0</v>
      </c>
      <c r="H34" s="7">
        <v>0</v>
      </c>
      <c r="I34" s="7">
        <v>1</v>
      </c>
      <c r="J34" s="8">
        <v>12.8</v>
      </c>
      <c r="K34" s="8">
        <v>164.3</v>
      </c>
      <c r="L34" s="8">
        <v>61.1</v>
      </c>
      <c r="M34" s="6">
        <f t="shared" si="2"/>
        <v>22.634248692974012</v>
      </c>
    </row>
    <row r="35" spans="1:13">
      <c r="A35" s="6">
        <f t="shared" si="0"/>
        <v>34</v>
      </c>
      <c r="B35" s="6">
        <v>0.24399999999999999</v>
      </c>
      <c r="C35" s="6">
        <v>0.158</v>
      </c>
      <c r="D35" s="6">
        <v>5</v>
      </c>
      <c r="E35" s="6">
        <v>2</v>
      </c>
      <c r="F35" s="6">
        <v>3</v>
      </c>
      <c r="G35" s="6">
        <v>0</v>
      </c>
      <c r="H35" s="7">
        <v>1</v>
      </c>
      <c r="I35" s="7">
        <v>1</v>
      </c>
      <c r="J35" s="8">
        <v>13.1</v>
      </c>
      <c r="K35" s="8">
        <v>152.69999999999999</v>
      </c>
      <c r="L35" s="8">
        <v>55.4</v>
      </c>
      <c r="M35" s="6">
        <f t="shared" si="2"/>
        <v>23.759193285326042</v>
      </c>
    </row>
    <row r="36" spans="1:13">
      <c r="A36" s="6">
        <f t="shared" si="0"/>
        <v>35</v>
      </c>
      <c r="B36" s="6">
        <v>0.54500000000000004</v>
      </c>
      <c r="C36" s="6">
        <v>0.29699999999999999</v>
      </c>
      <c r="D36" s="6">
        <v>3</v>
      </c>
      <c r="E36" s="6">
        <v>4</v>
      </c>
      <c r="F36" s="6">
        <v>2</v>
      </c>
      <c r="G36" s="6">
        <v>3</v>
      </c>
      <c r="H36" s="7">
        <v>1</v>
      </c>
      <c r="I36" s="7">
        <v>1</v>
      </c>
      <c r="J36" s="8">
        <v>13.1</v>
      </c>
      <c r="K36" s="8">
        <v>156.9</v>
      </c>
      <c r="L36" s="8">
        <v>49.5</v>
      </c>
      <c r="M36" s="6">
        <f t="shared" si="2"/>
        <v>20.107557151161306</v>
      </c>
    </row>
    <row r="37" spans="1:13">
      <c r="A37" s="6">
        <f t="shared" si="0"/>
        <v>36</v>
      </c>
      <c r="B37" s="6">
        <v>0.17100000000000001</v>
      </c>
      <c r="C37" s="6">
        <v>0.16600000000000001</v>
      </c>
      <c r="D37" s="6">
        <v>3</v>
      </c>
      <c r="E37" s="6">
        <v>3</v>
      </c>
      <c r="F37" s="6">
        <v>0</v>
      </c>
      <c r="G37" s="6">
        <v>0</v>
      </c>
      <c r="H37" s="7">
        <v>0</v>
      </c>
      <c r="I37" s="7">
        <v>2</v>
      </c>
      <c r="J37" s="8">
        <v>13.1</v>
      </c>
      <c r="K37" s="8">
        <v>158.1</v>
      </c>
      <c r="L37" s="8">
        <v>61.3</v>
      </c>
      <c r="M37" s="6">
        <f t="shared" si="2"/>
        <v>24.524306468215819</v>
      </c>
    </row>
    <row r="38" spans="1:13">
      <c r="A38" s="6">
        <f t="shared" si="0"/>
        <v>37</v>
      </c>
      <c r="B38" s="6">
        <v>0.16400000000000001</v>
      </c>
      <c r="C38" s="6">
        <v>0.121</v>
      </c>
      <c r="D38" s="6">
        <v>4</v>
      </c>
      <c r="E38" s="6">
        <v>0</v>
      </c>
      <c r="F38" s="6">
        <v>4</v>
      </c>
      <c r="G38" s="6">
        <v>0</v>
      </c>
      <c r="H38" s="7">
        <v>0</v>
      </c>
      <c r="I38" s="7">
        <v>1</v>
      </c>
      <c r="J38" s="8">
        <v>12.9</v>
      </c>
      <c r="K38" s="8">
        <v>167.9</v>
      </c>
      <c r="L38" s="8">
        <v>75.5</v>
      </c>
      <c r="M38" s="6">
        <f t="shared" si="2"/>
        <v>26.782157478376508</v>
      </c>
    </row>
    <row r="39" spans="1:13">
      <c r="A39" s="6">
        <f t="shared" si="0"/>
        <v>38</v>
      </c>
      <c r="B39" s="6">
        <v>0.18</v>
      </c>
      <c r="C39" s="6">
        <v>0.182</v>
      </c>
      <c r="D39" s="6">
        <v>3</v>
      </c>
      <c r="E39" s="6">
        <v>2</v>
      </c>
      <c r="F39" s="6">
        <v>0</v>
      </c>
      <c r="G39" s="6">
        <v>0</v>
      </c>
      <c r="H39" s="7">
        <v>0</v>
      </c>
      <c r="I39" s="7">
        <v>2</v>
      </c>
      <c r="J39" s="8">
        <v>12.3</v>
      </c>
      <c r="K39" s="8">
        <v>167.9</v>
      </c>
      <c r="L39" s="8">
        <v>77.5</v>
      </c>
      <c r="M39" s="6">
        <f t="shared" si="2"/>
        <v>27.491618603631515</v>
      </c>
    </row>
    <row r="40" spans="1:13">
      <c r="A40" s="6">
        <f t="shared" si="0"/>
        <v>39</v>
      </c>
      <c r="B40" s="6">
        <v>0.55200000000000005</v>
      </c>
      <c r="C40" s="6">
        <v>0.192</v>
      </c>
      <c r="D40" s="6">
        <v>2</v>
      </c>
      <c r="E40" s="6">
        <v>6</v>
      </c>
      <c r="F40" s="6">
        <v>5</v>
      </c>
      <c r="G40" s="6">
        <v>11</v>
      </c>
      <c r="H40" s="7">
        <v>1</v>
      </c>
      <c r="I40" s="7">
        <v>1</v>
      </c>
      <c r="J40" s="8">
        <v>13</v>
      </c>
      <c r="K40" s="8">
        <v>166.1</v>
      </c>
      <c r="L40" s="8">
        <v>66.3</v>
      </c>
      <c r="M40" s="6">
        <f t="shared" si="2"/>
        <v>24.031133910684648</v>
      </c>
    </row>
    <row r="41" spans="1:13">
      <c r="A41" s="6">
        <f t="shared" si="0"/>
        <v>40</v>
      </c>
      <c r="B41" s="6">
        <v>0.27</v>
      </c>
      <c r="C41" s="6">
        <v>8.2000000000000003E-2</v>
      </c>
      <c r="D41" s="6">
        <v>3</v>
      </c>
      <c r="E41" s="6">
        <v>5</v>
      </c>
      <c r="F41" s="6">
        <v>2</v>
      </c>
      <c r="G41" s="6">
        <v>2</v>
      </c>
      <c r="H41" s="7">
        <v>1</v>
      </c>
      <c r="I41" s="7">
        <v>1</v>
      </c>
      <c r="J41" s="8">
        <v>12.4</v>
      </c>
      <c r="K41" s="8">
        <v>161.69999999999999</v>
      </c>
      <c r="L41" s="8">
        <v>60.5</v>
      </c>
      <c r="M41" s="6">
        <f t="shared" si="2"/>
        <v>23.138507103521682</v>
      </c>
    </row>
    <row r="42" spans="1:13">
      <c r="A42" s="6">
        <f t="shared" si="0"/>
        <v>41</v>
      </c>
      <c r="B42" s="6">
        <v>0.24299999999999999</v>
      </c>
      <c r="C42" s="6">
        <v>0.16200000000000001</v>
      </c>
      <c r="D42" s="6">
        <v>5</v>
      </c>
      <c r="E42" s="6">
        <v>5</v>
      </c>
      <c r="F42" s="6">
        <v>3</v>
      </c>
      <c r="G42" s="6">
        <v>5</v>
      </c>
      <c r="H42" s="7">
        <v>1</v>
      </c>
      <c r="I42" s="7">
        <v>1</v>
      </c>
      <c r="J42" s="8">
        <v>12.3</v>
      </c>
      <c r="K42" s="8">
        <v>163.69999999999999</v>
      </c>
      <c r="L42" s="8">
        <v>58.5</v>
      </c>
      <c r="M42" s="6">
        <f t="shared" si="2"/>
        <v>21.830239845300103</v>
      </c>
    </row>
    <row r="43" spans="1:13">
      <c r="A43" s="6">
        <f t="shared" si="0"/>
        <v>42</v>
      </c>
      <c r="B43" s="6">
        <v>0.35699999999999998</v>
      </c>
      <c r="C43" s="6">
        <v>0.252</v>
      </c>
      <c r="D43" s="6">
        <v>3</v>
      </c>
      <c r="E43" s="6">
        <v>3</v>
      </c>
      <c r="F43" s="6">
        <v>0</v>
      </c>
      <c r="G43" s="6">
        <v>0</v>
      </c>
      <c r="H43" s="7">
        <v>1</v>
      </c>
      <c r="I43" s="7">
        <v>1</v>
      </c>
      <c r="J43" s="8">
        <v>13.2</v>
      </c>
      <c r="K43" s="8">
        <v>160.5</v>
      </c>
      <c r="L43" s="8">
        <v>49.8</v>
      </c>
      <c r="M43" s="6">
        <f t="shared" si="2"/>
        <v>19.332110519113751</v>
      </c>
    </row>
    <row r="44" spans="1:13">
      <c r="A44" s="6">
        <f t="shared" si="0"/>
        <v>43</v>
      </c>
      <c r="B44" s="6">
        <v>0.40799999999999997</v>
      </c>
      <c r="C44" s="6">
        <v>0.14599999999999999</v>
      </c>
      <c r="D44" s="6">
        <v>10</v>
      </c>
      <c r="E44" s="6">
        <v>2</v>
      </c>
      <c r="F44" s="6">
        <v>7</v>
      </c>
      <c r="G44" s="6">
        <v>1</v>
      </c>
      <c r="H44" s="7">
        <v>0</v>
      </c>
      <c r="I44" s="7">
        <v>1</v>
      </c>
      <c r="J44" s="8">
        <v>12.6</v>
      </c>
      <c r="K44" s="8">
        <v>147.6</v>
      </c>
      <c r="L44" s="8">
        <v>51.5</v>
      </c>
      <c r="M44" s="6">
        <f t="shared" si="2"/>
        <v>23.639294658529241</v>
      </c>
    </row>
    <row r="45" spans="1:13">
      <c r="A45" s="6">
        <f t="shared" si="0"/>
        <v>44</v>
      </c>
      <c r="B45" s="6">
        <v>0.123</v>
      </c>
      <c r="C45" s="6">
        <v>0.13400000000000001</v>
      </c>
      <c r="D45" s="6">
        <v>5</v>
      </c>
      <c r="E45" s="6">
        <v>3</v>
      </c>
      <c r="F45" s="6">
        <v>0</v>
      </c>
      <c r="G45" s="6">
        <v>0</v>
      </c>
      <c r="H45" s="7">
        <v>0</v>
      </c>
      <c r="I45" s="7">
        <v>1</v>
      </c>
      <c r="J45" s="8">
        <v>12.8</v>
      </c>
      <c r="K45" s="8">
        <v>156</v>
      </c>
      <c r="L45" s="8">
        <v>72</v>
      </c>
      <c r="M45" s="6">
        <f t="shared" si="2"/>
        <v>29.585798816568044</v>
      </c>
    </row>
    <row r="46" spans="1:13">
      <c r="A46" s="6">
        <f t="shared" si="0"/>
        <v>45</v>
      </c>
      <c r="B46" s="6">
        <v>0.26200000000000001</v>
      </c>
      <c r="C46" s="6">
        <v>0.159</v>
      </c>
      <c r="D46" s="6">
        <v>7</v>
      </c>
      <c r="E46" s="6">
        <v>5</v>
      </c>
      <c r="F46" s="6">
        <v>7</v>
      </c>
      <c r="G46" s="6">
        <v>7</v>
      </c>
      <c r="H46" s="7">
        <v>0</v>
      </c>
      <c r="I46" s="7">
        <v>1</v>
      </c>
      <c r="J46" s="8">
        <v>13.2</v>
      </c>
      <c r="K46" s="8">
        <v>155.1</v>
      </c>
      <c r="L46" s="8">
        <v>45.6</v>
      </c>
      <c r="M46" s="6">
        <f t="shared" si="2"/>
        <v>18.955761990454778</v>
      </c>
    </row>
    <row r="47" spans="1:13">
      <c r="A47" s="6">
        <f t="shared" si="0"/>
        <v>46</v>
      </c>
      <c r="B47" s="6">
        <v>0.27600000000000002</v>
      </c>
      <c r="C47" s="6">
        <v>0.13600000000000001</v>
      </c>
      <c r="D47" s="6">
        <v>12</v>
      </c>
      <c r="E47" s="6">
        <v>7</v>
      </c>
      <c r="F47" s="6">
        <v>14</v>
      </c>
      <c r="G47" s="6">
        <v>2</v>
      </c>
      <c r="H47" s="7">
        <v>0</v>
      </c>
      <c r="I47" s="7">
        <v>1</v>
      </c>
      <c r="J47" s="8">
        <v>12.3</v>
      </c>
      <c r="K47" s="8">
        <v>157.80000000000001</v>
      </c>
      <c r="L47" s="8">
        <v>50.4</v>
      </c>
      <c r="M47" s="6">
        <f t="shared" si="2"/>
        <v>20.24028105075973</v>
      </c>
    </row>
    <row r="48" spans="1:13">
      <c r="H4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이인호</cp:lastModifiedBy>
  <dcterms:created xsi:type="dcterms:W3CDTF">2025-06-16T06:45:45Z</dcterms:created>
  <dcterms:modified xsi:type="dcterms:W3CDTF">2026-03-23T02:23:13Z</dcterms:modified>
</cp:coreProperties>
</file>