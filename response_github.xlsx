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chackr-my.sharepoint.com/personal/ihlee2225_sch_ac_kr/Documents/IRB 3. P01-202308-06-002 교사/★4편 k-means cortisol/251012 알렉산더 테크닉/260306 PEERJ/"/>
    </mc:Choice>
  </mc:AlternateContent>
  <xr:revisionPtr revIDLastSave="97" documentId="8_{321B9C48-0C19-4047-B2E7-F4CA7DD33C40}" xr6:coauthVersionLast="47" xr6:coauthVersionMax="47" xr10:uidLastSave="{928BBE05-A520-448D-947E-62E1F48B5ABF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2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<sst xmlns="http://schemas.openxmlformats.org/spreadsheetml/2006/main" count="13" uniqueCount="13">
  <si>
    <t>ID</t>
  </si>
  <si>
    <t>pre_cortisol</t>
  </si>
  <si>
    <t>post_cortisol</t>
  </si>
  <si>
    <t>pre_phq9</t>
  </si>
  <si>
    <t>post_phq9</t>
  </si>
  <si>
    <t>pre_gad7</t>
  </si>
  <si>
    <t>post_gad7</t>
  </si>
  <si>
    <t>gender</t>
    <phoneticPr fontId="2" type="noConversion"/>
  </si>
  <si>
    <t>YN</t>
    <phoneticPr fontId="2" type="noConversion"/>
  </si>
  <si>
    <t>Age</t>
  </si>
  <si>
    <t>Hight</t>
    <phoneticPr fontId="2" type="noConversion"/>
  </si>
  <si>
    <t>Weight</t>
    <phoneticPr fontId="2" type="noConversion"/>
  </si>
  <si>
    <t>BMI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</si>
</sst>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1" xfId="0" applyFont="1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8"/>
  <sheetViews>
    <sheetView tabSelected="1" workbookViewId="0">
      <selection activeCell="H1" sqref="H1"/>
    </sheetView>
  </sheetViews>
  <sheetFormatPr defaultRowHeight="16.5" x14ac:dyDescent="0.3"/>
  <cols>
    <col min="1" max="1" width="8.875" customWidth="1"/>
    <col min="2" max="2" width="12.125" customWidth="1"/>
    <col min="3" max="3" width="12.625" customWidth="1"/>
    <col min="4" max="4" width="10.25" customWidth="1"/>
    <col min="5" max="5" width="10.5" customWidth="1"/>
    <col min="6" max="6" width="10.875" customWidth="1"/>
    <col min="7" max="7" width="11.25" customWidth="1"/>
    <col min="8" max="8" width="15.25" style="3" customWidth="1"/>
    <col min="9" max="9" width="16.5" style="3" customWidth="1"/>
    <col min="10" max="10" width="12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7" t="s">
        <v>9</v>
      </c>
      <c r="K1" s="7" t="s">
        <v>10</v>
      </c>
      <c r="L1" s="7" t="s">
        <v>11</v>
      </c>
      <c r="M1" s="7" t="s">
        <v>12</v>
      </c>
    </row>
    <row r="2" spans="1:13" x14ac:dyDescent="0.3">
      <c r="A2">
        <f>ROW(A1)</f>
        <v>1</v>
      </c>
      <c r="B2">
        <v>0.28899999999999998</v>
      </c>
      <c r="C2">
        <v>0.14899999999999999</v>
      </c>
      <c r="D2">
        <v>14</v>
      </c>
      <c r="E2">
        <v>4</v>
      </c>
      <c r="F2">
        <v>10</v>
      </c>
      <c r="G2">
        <v>10</v>
      </c>
      <c r="H2" s="3">
        <v>1</v>
      </c>
      <c r="I2" s="5">
        <v>1</v>
      </c>
      <c r="J2" s="6">
        <v>12.3</v>
      </c>
      <c r="K2" s="6">
        <v>148.4</v>
      </c>
      <c r="L2" s="6">
        <v>46.5</v>
      </c>
      <c r="M2">
        <f>L2/(K2/100)^2</f>
        <v>21.114711459521512</v>
      </c>
    </row>
    <row r="3" spans="1:13" x14ac:dyDescent="0.3">
      <c r="A3">
        <f t="shared" ref="A3:A47" si="0">ROW(A2)</f>
        <v>2</v>
      </c>
      <c r="B3">
        <v>0.23899999999999999</v>
      </c>
      <c r="C3">
        <v>0.15</v>
      </c>
      <c r="D3">
        <v>7</v>
      </c>
      <c r="E3">
        <v>6</v>
      </c>
      <c r="F3">
        <v>4</v>
      </c>
      <c r="G3">
        <v>11</v>
      </c>
      <c r="H3" s="3">
        <v>1</v>
      </c>
      <c r="I3" s="5">
        <v>1</v>
      </c>
      <c r="J3" s="6">
        <v>12.7</v>
      </c>
      <c r="K3" s="6">
        <v>168.9</v>
      </c>
      <c r="L3" s="6">
        <v>53.6</v>
      </c>
      <c r="M3">
        <f t="shared" ref="M3:M25" si="1">L3/(K3/100)^2</f>
        <v>18.789078917987421</v>
      </c>
    </row>
    <row r="4" spans="1:13" x14ac:dyDescent="0.3">
      <c r="A4">
        <f t="shared" si="0"/>
        <v>3</v>
      </c>
      <c r="B4">
        <v>0.66800000000000004</v>
      </c>
      <c r="C4">
        <v>0.70499999999999996</v>
      </c>
      <c r="D4">
        <v>4</v>
      </c>
      <c r="E4">
        <v>2</v>
      </c>
      <c r="F4">
        <v>2</v>
      </c>
      <c r="G4">
        <v>1</v>
      </c>
      <c r="H4" s="3">
        <v>1</v>
      </c>
      <c r="I4" s="3">
        <v>2</v>
      </c>
      <c r="J4" s="6">
        <v>12.5</v>
      </c>
      <c r="K4" s="6">
        <v>155.5</v>
      </c>
      <c r="L4" s="6">
        <v>46.7</v>
      </c>
      <c r="M4">
        <f t="shared" si="1"/>
        <v>19.313282534299692</v>
      </c>
    </row>
    <row r="5" spans="1:13" x14ac:dyDescent="0.3">
      <c r="A5">
        <f t="shared" si="0"/>
        <v>4</v>
      </c>
      <c r="B5">
        <v>0.46200000000000002</v>
      </c>
      <c r="C5">
        <v>0.40300000000000002</v>
      </c>
      <c r="D5">
        <v>11</v>
      </c>
      <c r="E5">
        <v>2</v>
      </c>
      <c r="F5">
        <v>7</v>
      </c>
      <c r="G5">
        <v>1</v>
      </c>
      <c r="H5" s="3">
        <v>1</v>
      </c>
      <c r="I5" s="3">
        <v>2</v>
      </c>
      <c r="J5" s="6">
        <v>13.1</v>
      </c>
      <c r="K5" s="6">
        <v>164.6</v>
      </c>
      <c r="L5" s="6">
        <v>73.900000000000006</v>
      </c>
      <c r="M5">
        <f t="shared" si="1"/>
        <v>27.276257180779211</v>
      </c>
    </row>
    <row r="6" spans="1:13" x14ac:dyDescent="0.3">
      <c r="A6">
        <f t="shared" si="0"/>
        <v>5</v>
      </c>
      <c r="B6">
        <v>0.28799999999999998</v>
      </c>
      <c r="C6">
        <v>0.26500000000000001</v>
      </c>
      <c r="D6">
        <v>12</v>
      </c>
      <c r="E6">
        <v>3</v>
      </c>
      <c r="F6">
        <v>5</v>
      </c>
      <c r="G6">
        <v>2</v>
      </c>
      <c r="H6" s="3">
        <v>1</v>
      </c>
      <c r="I6" s="5">
        <v>1</v>
      </c>
      <c r="J6" s="6">
        <v>13.2</v>
      </c>
      <c r="K6" s="6">
        <v>155.30000000000001</v>
      </c>
      <c r="L6" s="6">
        <v>57.2</v>
      </c>
      <c r="M6">
        <f t="shared" si="1"/>
        <v>23.716637594436374</v>
      </c>
    </row>
    <row r="7" spans="1:13" x14ac:dyDescent="0.3">
      <c r="A7">
        <f t="shared" si="0"/>
        <v>6</v>
      </c>
      <c r="B7">
        <v>0.27800000000000002</v>
      </c>
      <c r="C7">
        <v>0.186</v>
      </c>
      <c r="D7">
        <v>13</v>
      </c>
      <c r="E7">
        <v>8</v>
      </c>
      <c r="F7">
        <v>4</v>
      </c>
      <c r="G7">
        <v>7</v>
      </c>
      <c r="H7" s="3">
        <v>0</v>
      </c>
      <c r="I7" s="3">
        <v>2</v>
      </c>
      <c r="J7" s="6">
        <v>12.8</v>
      </c>
      <c r="K7" s="6">
        <v>150.6</v>
      </c>
      <c r="L7" s="6">
        <v>38.6</v>
      </c>
      <c r="M7">
        <f t="shared" si="1"/>
        <v>17.019130207809752</v>
      </c>
    </row>
    <row r="8" spans="1:13" x14ac:dyDescent="0.3">
      <c r="A8">
        <f t="shared" si="0"/>
        <v>7</v>
      </c>
      <c r="B8">
        <v>0.16300000000000001</v>
      </c>
      <c r="C8">
        <v>0.27500000000000002</v>
      </c>
      <c r="D8">
        <v>3</v>
      </c>
      <c r="E8">
        <v>1</v>
      </c>
      <c r="F8">
        <v>1</v>
      </c>
      <c r="G8">
        <v>0</v>
      </c>
      <c r="H8" s="3">
        <v>0</v>
      </c>
      <c r="I8" s="3">
        <v>2</v>
      </c>
      <c r="J8" s="6">
        <v>12.5</v>
      </c>
      <c r="K8" s="6">
        <v>160.4</v>
      </c>
      <c r="L8" s="6">
        <v>43.7</v>
      </c>
      <c r="M8">
        <f t="shared" si="1"/>
        <v>16.985279942288916</v>
      </c>
    </row>
    <row r="9" spans="1:13" x14ac:dyDescent="0.3">
      <c r="A9">
        <f t="shared" si="0"/>
        <v>8</v>
      </c>
      <c r="B9">
        <v>0.20100000000000001</v>
      </c>
      <c r="C9">
        <v>0.29599999999999999</v>
      </c>
      <c r="D9">
        <v>3</v>
      </c>
      <c r="E9">
        <v>0</v>
      </c>
      <c r="F9">
        <v>1</v>
      </c>
      <c r="G9">
        <v>0</v>
      </c>
      <c r="H9" s="3">
        <v>1</v>
      </c>
      <c r="I9" s="3">
        <v>2</v>
      </c>
      <c r="J9" s="6">
        <v>13.1</v>
      </c>
      <c r="K9" s="6">
        <v>151.5</v>
      </c>
      <c r="L9" s="6">
        <v>45.6</v>
      </c>
      <c r="M9">
        <f t="shared" si="1"/>
        <v>19.867333267980264</v>
      </c>
    </row>
    <row r="10" spans="1:13" x14ac:dyDescent="0.3">
      <c r="A10">
        <f t="shared" si="0"/>
        <v>9</v>
      </c>
      <c r="B10">
        <v>0.60699999999999998</v>
      </c>
      <c r="C10">
        <v>0.504</v>
      </c>
      <c r="D10">
        <v>2</v>
      </c>
      <c r="E10">
        <v>4</v>
      </c>
      <c r="F10">
        <v>0</v>
      </c>
      <c r="G10">
        <v>2</v>
      </c>
      <c r="H10" s="3">
        <v>1</v>
      </c>
      <c r="I10" s="5">
        <v>1</v>
      </c>
      <c r="J10" s="6">
        <v>12.5</v>
      </c>
      <c r="K10" s="6">
        <v>151.80000000000001</v>
      </c>
      <c r="L10" s="6">
        <v>44.9</v>
      </c>
      <c r="M10">
        <f t="shared" si="1"/>
        <v>19.485107129032198</v>
      </c>
    </row>
    <row r="11" spans="1:13" x14ac:dyDescent="0.3">
      <c r="A11">
        <f t="shared" si="0"/>
        <v>10</v>
      </c>
      <c r="B11">
        <v>0.435</v>
      </c>
      <c r="C11">
        <v>0.51300000000000001</v>
      </c>
      <c r="D11">
        <v>0</v>
      </c>
      <c r="E11">
        <v>11</v>
      </c>
      <c r="F11">
        <v>0</v>
      </c>
      <c r="G11">
        <v>1</v>
      </c>
      <c r="H11" s="3">
        <v>0</v>
      </c>
      <c r="I11" s="5">
        <v>1</v>
      </c>
      <c r="J11" s="6">
        <v>13.1</v>
      </c>
      <c r="K11" s="6">
        <v>167.4</v>
      </c>
      <c r="L11" s="6">
        <v>53.2</v>
      </c>
      <c r="M11">
        <f t="shared" si="1"/>
        <v>18.984568258087354</v>
      </c>
    </row>
    <row r="12" spans="1:13" x14ac:dyDescent="0.3">
      <c r="A12">
        <f t="shared" si="0"/>
        <v>11</v>
      </c>
      <c r="B12">
        <v>0.28299999999999997</v>
      </c>
      <c r="C12">
        <v>0.20499999999999999</v>
      </c>
      <c r="D12">
        <v>0</v>
      </c>
      <c r="E12">
        <v>0</v>
      </c>
      <c r="F12">
        <v>1</v>
      </c>
      <c r="G12">
        <v>0</v>
      </c>
      <c r="H12" s="3">
        <v>0</v>
      </c>
      <c r="I12" s="3">
        <v>2</v>
      </c>
      <c r="J12" s="6">
        <v>13.2</v>
      </c>
      <c r="K12" s="6">
        <v>169.5</v>
      </c>
      <c r="L12" s="6">
        <v>63.6</v>
      </c>
      <c r="M12">
        <f t="shared" si="1"/>
        <v>22.136946250032629</v>
      </c>
    </row>
    <row r="13" spans="1:13" x14ac:dyDescent="0.3">
      <c r="A13">
        <f t="shared" si="0"/>
        <v>12</v>
      </c>
      <c r="B13">
        <v>0.307</v>
      </c>
      <c r="C13">
        <v>0.36899999999999999</v>
      </c>
      <c r="D13">
        <v>7</v>
      </c>
      <c r="E13">
        <v>0</v>
      </c>
      <c r="F13">
        <v>0</v>
      </c>
      <c r="G13">
        <v>1</v>
      </c>
      <c r="H13" s="3">
        <v>0</v>
      </c>
      <c r="I13" s="3">
        <v>2</v>
      </c>
      <c r="J13" s="6">
        <v>13</v>
      </c>
      <c r="K13" s="6">
        <v>154.1</v>
      </c>
      <c r="L13" s="6">
        <v>65.5</v>
      </c>
      <c r="M13">
        <f t="shared" si="1"/>
        <v>27.582652154120915</v>
      </c>
    </row>
    <row r="14" spans="1:13" x14ac:dyDescent="0.3">
      <c r="A14">
        <f t="shared" si="0"/>
        <v>13</v>
      </c>
      <c r="B14">
        <v>0.17599999999999999</v>
      </c>
      <c r="C14">
        <v>0.214</v>
      </c>
      <c r="D14">
        <v>2</v>
      </c>
      <c r="E14">
        <v>8</v>
      </c>
      <c r="F14">
        <v>2</v>
      </c>
      <c r="G14">
        <v>2</v>
      </c>
      <c r="H14" s="3">
        <v>0</v>
      </c>
      <c r="I14" s="5">
        <v>1</v>
      </c>
      <c r="J14" s="6">
        <v>12.7</v>
      </c>
      <c r="K14" s="6">
        <v>148.30000000000001</v>
      </c>
      <c r="L14" s="6">
        <v>41.3</v>
      </c>
      <c r="M14">
        <f t="shared" si="1"/>
        <v>18.778796238238808</v>
      </c>
    </row>
    <row r="15" spans="1:13" x14ac:dyDescent="0.3">
      <c r="A15">
        <f t="shared" si="0"/>
        <v>14</v>
      </c>
      <c r="B15">
        <v>0.502</v>
      </c>
      <c r="C15">
        <v>0.34699999999999998</v>
      </c>
      <c r="D15">
        <v>7</v>
      </c>
      <c r="E15">
        <v>2</v>
      </c>
      <c r="F15">
        <v>8</v>
      </c>
      <c r="G15">
        <v>0</v>
      </c>
      <c r="H15" s="3">
        <v>0</v>
      </c>
      <c r="I15" s="3">
        <v>2</v>
      </c>
      <c r="J15" s="6">
        <v>12.8</v>
      </c>
      <c r="K15" s="6">
        <v>154.4</v>
      </c>
      <c r="L15" s="6">
        <v>52.9</v>
      </c>
      <c r="M15">
        <f t="shared" si="1"/>
        <v>22.190193025316113</v>
      </c>
    </row>
    <row r="16" spans="1:13" x14ac:dyDescent="0.3">
      <c r="A16">
        <f t="shared" si="0"/>
        <v>15</v>
      </c>
      <c r="B16">
        <v>0.20100000000000001</v>
      </c>
      <c r="C16">
        <v>0.249</v>
      </c>
      <c r="D16">
        <v>3</v>
      </c>
      <c r="E16">
        <v>0</v>
      </c>
      <c r="F16">
        <v>1</v>
      </c>
      <c r="G16">
        <v>0</v>
      </c>
      <c r="H16" s="3">
        <v>0</v>
      </c>
      <c r="I16" s="3">
        <v>2</v>
      </c>
      <c r="J16" s="6">
        <v>12.9</v>
      </c>
      <c r="K16" s="6">
        <v>167.7</v>
      </c>
      <c r="L16" s="6">
        <v>47.7</v>
      </c>
      <c r="M16">
        <f t="shared" si="1"/>
        <v>16.961031230698833</v>
      </c>
    </row>
    <row r="17" spans="1:13" x14ac:dyDescent="0.3">
      <c r="A17">
        <f t="shared" si="0"/>
        <v>16</v>
      </c>
      <c r="B17">
        <v>0.247</v>
      </c>
      <c r="C17">
        <v>7.1999999999999995E-2</v>
      </c>
      <c r="D17">
        <v>2</v>
      </c>
      <c r="E17">
        <v>4</v>
      </c>
      <c r="F17">
        <v>3</v>
      </c>
      <c r="G17">
        <v>2</v>
      </c>
      <c r="H17" s="3">
        <v>1</v>
      </c>
      <c r="I17" s="5">
        <v>1</v>
      </c>
      <c r="J17" s="6">
        <v>12.9</v>
      </c>
      <c r="K17" s="6">
        <v>160.69999999999999</v>
      </c>
      <c r="L17" s="6">
        <v>49.3</v>
      </c>
      <c r="M17">
        <f t="shared" si="1"/>
        <v>19.090406044804755</v>
      </c>
    </row>
    <row r="18" spans="1:13" x14ac:dyDescent="0.3">
      <c r="A18">
        <f t="shared" si="0"/>
        <v>17</v>
      </c>
      <c r="B18">
        <v>0.28799999999999998</v>
      </c>
      <c r="C18">
        <v>0.23599999999999999</v>
      </c>
      <c r="D18">
        <v>12</v>
      </c>
      <c r="E18">
        <v>3</v>
      </c>
      <c r="F18">
        <v>5</v>
      </c>
      <c r="G18">
        <v>2</v>
      </c>
      <c r="H18" s="3">
        <v>1</v>
      </c>
      <c r="I18" s="3">
        <v>2</v>
      </c>
      <c r="J18" s="6">
        <v>12.6</v>
      </c>
      <c r="K18" s="6">
        <v>158.69999999999999</v>
      </c>
      <c r="L18" s="6">
        <v>61.1</v>
      </c>
      <c r="M18">
        <f t="shared" si="1"/>
        <v>24.259807851204396</v>
      </c>
    </row>
    <row r="19" spans="1:13" x14ac:dyDescent="0.3">
      <c r="A19">
        <f t="shared" si="0"/>
        <v>18</v>
      </c>
      <c r="B19">
        <v>0.121</v>
      </c>
      <c r="C19">
        <v>0.216</v>
      </c>
      <c r="D19">
        <v>9</v>
      </c>
      <c r="E19">
        <v>8</v>
      </c>
      <c r="F19">
        <v>6</v>
      </c>
      <c r="G19">
        <v>1</v>
      </c>
      <c r="H19" s="3">
        <v>1</v>
      </c>
      <c r="I19" s="3">
        <v>2</v>
      </c>
      <c r="J19" s="6">
        <v>12.6</v>
      </c>
      <c r="K19" s="6">
        <v>165.3</v>
      </c>
      <c r="L19" s="6">
        <v>57.9</v>
      </c>
      <c r="M19">
        <f t="shared" si="1"/>
        <v>21.190092698421061</v>
      </c>
    </row>
    <row r="20" spans="1:13" x14ac:dyDescent="0.3">
      <c r="A20">
        <f t="shared" si="0"/>
        <v>19</v>
      </c>
      <c r="B20">
        <v>0.30399999999999999</v>
      </c>
      <c r="C20">
        <v>0.313</v>
      </c>
      <c r="D20">
        <v>5</v>
      </c>
      <c r="E20">
        <v>10</v>
      </c>
      <c r="F20">
        <v>0</v>
      </c>
      <c r="G20">
        <v>7</v>
      </c>
      <c r="H20" s="3">
        <v>1</v>
      </c>
      <c r="I20" s="3">
        <v>2</v>
      </c>
      <c r="J20" s="6">
        <v>13.1</v>
      </c>
      <c r="K20" s="6">
        <v>157.6</v>
      </c>
      <c r="L20" s="6">
        <v>63</v>
      </c>
      <c r="M20">
        <f t="shared" si="1"/>
        <v>25.364606148058446</v>
      </c>
    </row>
    <row r="21" spans="1:13" x14ac:dyDescent="0.3">
      <c r="A21">
        <f t="shared" si="0"/>
        <v>20</v>
      </c>
      <c r="B21">
        <v>0.29899999999999999</v>
      </c>
      <c r="C21">
        <v>0.57599999999999996</v>
      </c>
      <c r="D21">
        <v>2</v>
      </c>
      <c r="E21">
        <v>0</v>
      </c>
      <c r="F21">
        <v>4</v>
      </c>
      <c r="G21">
        <v>1</v>
      </c>
      <c r="H21" s="3">
        <v>1</v>
      </c>
      <c r="I21" s="3">
        <v>2</v>
      </c>
      <c r="J21" s="6">
        <v>12.8</v>
      </c>
      <c r="K21" s="6">
        <v>165.1</v>
      </c>
      <c r="L21" s="6">
        <v>54.1</v>
      </c>
      <c r="M21">
        <f t="shared" si="1"/>
        <v>19.847376972860452</v>
      </c>
    </row>
    <row r="22" spans="1:13" x14ac:dyDescent="0.3">
      <c r="A22">
        <f t="shared" si="0"/>
        <v>21</v>
      </c>
      <c r="B22">
        <v>0.222</v>
      </c>
      <c r="C22">
        <v>0.53800000000000003</v>
      </c>
      <c r="D22">
        <v>2</v>
      </c>
      <c r="E22">
        <v>2</v>
      </c>
      <c r="F22">
        <v>2</v>
      </c>
      <c r="G22">
        <v>2</v>
      </c>
      <c r="H22" s="3">
        <v>0</v>
      </c>
      <c r="I22" s="3">
        <v>2</v>
      </c>
      <c r="J22" s="6">
        <v>12.3</v>
      </c>
      <c r="K22" s="6">
        <v>147.4</v>
      </c>
      <c r="L22" s="6">
        <v>59.2</v>
      </c>
      <c r="M22">
        <f t="shared" si="1"/>
        <v>27.247504920199791</v>
      </c>
    </row>
    <row r="23" spans="1:13" x14ac:dyDescent="0.3">
      <c r="A23">
        <f t="shared" si="0"/>
        <v>22</v>
      </c>
      <c r="B23">
        <v>0.67800000000000005</v>
      </c>
      <c r="C23">
        <v>0.17</v>
      </c>
      <c r="D23">
        <v>4</v>
      </c>
      <c r="E23">
        <v>8</v>
      </c>
      <c r="F23">
        <v>6</v>
      </c>
      <c r="G23">
        <v>5</v>
      </c>
      <c r="H23" s="3">
        <v>0</v>
      </c>
      <c r="I23" s="3">
        <v>2</v>
      </c>
      <c r="J23" s="6">
        <v>12.5</v>
      </c>
      <c r="K23" s="6">
        <v>151.5</v>
      </c>
      <c r="L23" s="6">
        <v>52.8</v>
      </c>
      <c r="M23">
        <f t="shared" si="1"/>
        <v>23.004280626082412</v>
      </c>
    </row>
    <row r="24" spans="1:13" x14ac:dyDescent="0.3">
      <c r="A24">
        <f t="shared" si="0"/>
        <v>23</v>
      </c>
      <c r="B24">
        <v>0.21199999999999999</v>
      </c>
      <c r="C24">
        <v>0.23</v>
      </c>
      <c r="D24">
        <v>1</v>
      </c>
      <c r="E24">
        <v>1</v>
      </c>
      <c r="F24">
        <v>0</v>
      </c>
      <c r="G24">
        <v>0</v>
      </c>
      <c r="H24" s="3">
        <v>0</v>
      </c>
      <c r="I24" s="3">
        <v>2</v>
      </c>
      <c r="J24" s="6">
        <v>12.8</v>
      </c>
      <c r="K24" s="6">
        <v>157.6</v>
      </c>
      <c r="L24" s="6">
        <v>76.2</v>
      </c>
      <c r="M24">
        <f t="shared" si="1"/>
        <v>30.679095055270693</v>
      </c>
    </row>
    <row r="25" spans="1:13" x14ac:dyDescent="0.3">
      <c r="A25">
        <f t="shared" si="0"/>
        <v>24</v>
      </c>
      <c r="B25">
        <v>0.17799999999999999</v>
      </c>
      <c r="C25">
        <v>0.41</v>
      </c>
      <c r="D25">
        <v>0</v>
      </c>
      <c r="E25">
        <v>2</v>
      </c>
      <c r="F25">
        <v>6</v>
      </c>
      <c r="G25">
        <v>1</v>
      </c>
      <c r="H25" s="3">
        <v>0</v>
      </c>
      <c r="I25" s="3">
        <v>2</v>
      </c>
      <c r="J25" s="6">
        <v>13</v>
      </c>
      <c r="K25" s="6">
        <v>172.9</v>
      </c>
      <c r="L25" s="6">
        <v>74.8</v>
      </c>
      <c r="M25">
        <f t="shared" si="1"/>
        <v>25.021400321999998</v>
      </c>
    </row>
    <row r="26" spans="1:13" x14ac:dyDescent="0.3">
      <c r="A26">
        <f t="shared" si="0"/>
        <v>25</v>
      </c>
      <c r="B26">
        <v>0.20499999999999999</v>
      </c>
      <c r="C26">
        <v>0.318</v>
      </c>
      <c r="D26">
        <v>0</v>
      </c>
      <c r="E26">
        <v>11</v>
      </c>
      <c r="F26">
        <v>0</v>
      </c>
      <c r="G26">
        <v>7</v>
      </c>
      <c r="H26" s="3">
        <v>0</v>
      </c>
      <c r="I26" s="3">
        <v>2</v>
      </c>
      <c r="J26" s="6">
        <v>12.1</v>
      </c>
      <c r="K26" s="6">
        <v>148.30000000000001</v>
      </c>
      <c r="L26" s="6">
        <v>63.6</v>
      </c>
      <c r="M26">
        <v>28.93</v>
      </c>
    </row>
    <row r="27" spans="1:13" x14ac:dyDescent="0.3">
      <c r="A27">
        <f t="shared" si="0"/>
        <v>26</v>
      </c>
      <c r="B27">
        <v>0.16500000000000001</v>
      </c>
      <c r="C27">
        <v>0.23499999999999999</v>
      </c>
      <c r="D27">
        <v>10</v>
      </c>
      <c r="E27">
        <v>3</v>
      </c>
      <c r="F27">
        <v>3</v>
      </c>
      <c r="G27">
        <v>8</v>
      </c>
      <c r="H27" s="3">
        <v>0</v>
      </c>
      <c r="I27" s="3">
        <v>2</v>
      </c>
      <c r="J27" s="6">
        <v>12.7</v>
      </c>
      <c r="K27" s="6">
        <v>163.6</v>
      </c>
      <c r="L27" s="6">
        <v>64.400000000000006</v>
      </c>
      <c r="M27">
        <f t="shared" ref="M27:M47" si="2">L27/(K27/100)^2</f>
        <v>24.06131001129836</v>
      </c>
    </row>
    <row r="28" spans="1:13" x14ac:dyDescent="0.3">
      <c r="A28">
        <f t="shared" si="0"/>
        <v>27</v>
      </c>
      <c r="B28">
        <v>9.8000000000000004E-2</v>
      </c>
      <c r="C28">
        <v>0.191</v>
      </c>
      <c r="D28">
        <v>2</v>
      </c>
      <c r="E28">
        <v>3</v>
      </c>
      <c r="F28">
        <v>2</v>
      </c>
      <c r="G28">
        <v>2</v>
      </c>
      <c r="H28" s="3">
        <v>1</v>
      </c>
      <c r="I28" s="3">
        <v>2</v>
      </c>
      <c r="J28" s="6">
        <v>12.9</v>
      </c>
      <c r="K28" s="6">
        <v>147.5</v>
      </c>
      <c r="L28" s="6">
        <v>36</v>
      </c>
      <c r="M28">
        <f t="shared" si="2"/>
        <v>16.546969261706405</v>
      </c>
    </row>
    <row r="29" spans="1:13" x14ac:dyDescent="0.3">
      <c r="A29">
        <f t="shared" si="0"/>
        <v>28</v>
      </c>
      <c r="B29">
        <v>0.158</v>
      </c>
      <c r="C29">
        <v>0.42299999999999999</v>
      </c>
      <c r="D29">
        <v>2</v>
      </c>
      <c r="E29">
        <v>3</v>
      </c>
      <c r="F29">
        <v>0</v>
      </c>
      <c r="G29">
        <v>0</v>
      </c>
      <c r="H29" s="3">
        <v>1</v>
      </c>
      <c r="I29" s="3">
        <v>2</v>
      </c>
      <c r="J29" s="6">
        <v>12.3</v>
      </c>
      <c r="K29" s="6">
        <v>154.30000000000001</v>
      </c>
      <c r="L29" s="6">
        <v>45.6</v>
      </c>
      <c r="M29">
        <f t="shared" si="2"/>
        <v>19.152831615948763</v>
      </c>
    </row>
    <row r="30" spans="1:13" x14ac:dyDescent="0.3">
      <c r="A30">
        <f t="shared" si="0"/>
        <v>29</v>
      </c>
      <c r="B30">
        <v>0.44</v>
      </c>
      <c r="C30">
        <v>0.32700000000000001</v>
      </c>
      <c r="D30">
        <v>1</v>
      </c>
      <c r="E30">
        <v>6</v>
      </c>
      <c r="F30">
        <v>0</v>
      </c>
      <c r="G30">
        <v>2</v>
      </c>
      <c r="H30" s="3">
        <v>1</v>
      </c>
      <c r="I30" s="3">
        <v>1</v>
      </c>
      <c r="J30" s="6">
        <v>12.4</v>
      </c>
      <c r="K30" s="6">
        <v>155.5</v>
      </c>
      <c r="L30" s="6">
        <v>45.1</v>
      </c>
      <c r="M30">
        <f t="shared" si="2"/>
        <v>18.651585488156659</v>
      </c>
    </row>
    <row r="31" spans="1:13" x14ac:dyDescent="0.3">
      <c r="A31">
        <f t="shared" si="0"/>
        <v>30</v>
      </c>
      <c r="B31">
        <v>0.38700000000000001</v>
      </c>
      <c r="C31">
        <v>0.28599999999999998</v>
      </c>
      <c r="D31">
        <v>4</v>
      </c>
      <c r="E31">
        <v>8</v>
      </c>
      <c r="F31">
        <v>3</v>
      </c>
      <c r="G31">
        <v>4</v>
      </c>
      <c r="H31" s="3">
        <v>1</v>
      </c>
      <c r="I31" s="3">
        <v>1</v>
      </c>
      <c r="J31" s="6">
        <v>12.8</v>
      </c>
      <c r="K31" s="6">
        <v>149.5</v>
      </c>
      <c r="L31" s="6">
        <v>48</v>
      </c>
      <c r="M31">
        <f t="shared" si="2"/>
        <v>21.476269840382095</v>
      </c>
    </row>
    <row r="32" spans="1:13" x14ac:dyDescent="0.3">
      <c r="A32">
        <f t="shared" si="0"/>
        <v>31</v>
      </c>
      <c r="B32">
        <v>0.16900000000000001</v>
      </c>
      <c r="C32">
        <v>0.28399999999999997</v>
      </c>
      <c r="D32">
        <v>0</v>
      </c>
      <c r="E32">
        <v>2</v>
      </c>
      <c r="F32">
        <v>3</v>
      </c>
      <c r="G32">
        <v>1</v>
      </c>
      <c r="H32" s="3">
        <v>1</v>
      </c>
      <c r="I32" s="3">
        <v>1</v>
      </c>
      <c r="J32" s="6">
        <v>12.8</v>
      </c>
      <c r="K32" s="6">
        <v>158.80000000000001</v>
      </c>
      <c r="L32" s="6">
        <v>49.2</v>
      </c>
      <c r="M32">
        <f t="shared" si="2"/>
        <v>19.510307152510325</v>
      </c>
    </row>
    <row r="33" spans="1:13" x14ac:dyDescent="0.3">
      <c r="A33">
        <f t="shared" si="0"/>
        <v>32</v>
      </c>
      <c r="B33">
        <v>0.16300000000000001</v>
      </c>
      <c r="C33">
        <v>0.21</v>
      </c>
      <c r="D33">
        <v>0</v>
      </c>
      <c r="E33">
        <v>0</v>
      </c>
      <c r="F33">
        <v>0</v>
      </c>
      <c r="G33">
        <v>0</v>
      </c>
      <c r="H33" s="3">
        <v>0</v>
      </c>
      <c r="I33" s="3">
        <v>1</v>
      </c>
      <c r="J33" s="6">
        <v>12.3</v>
      </c>
      <c r="K33" s="6">
        <v>150.69999999999999</v>
      </c>
      <c r="L33" s="6">
        <v>65.599999999999994</v>
      </c>
      <c r="M33">
        <f t="shared" si="2"/>
        <v>28.885330083146602</v>
      </c>
    </row>
    <row r="34" spans="1:13" x14ac:dyDescent="0.3">
      <c r="A34">
        <f t="shared" si="0"/>
        <v>33</v>
      </c>
      <c r="B34">
        <v>0.19</v>
      </c>
      <c r="C34">
        <v>0.36899999999999999</v>
      </c>
      <c r="D34">
        <v>8</v>
      </c>
      <c r="E34">
        <v>2</v>
      </c>
      <c r="F34">
        <v>8</v>
      </c>
      <c r="G34">
        <v>0</v>
      </c>
      <c r="H34" s="3">
        <v>0</v>
      </c>
      <c r="I34" s="3">
        <v>1</v>
      </c>
      <c r="J34" s="6">
        <v>12.8</v>
      </c>
      <c r="K34" s="6">
        <v>164.3</v>
      </c>
      <c r="L34" s="6">
        <v>61.1</v>
      </c>
      <c r="M34">
        <f t="shared" si="2"/>
        <v>22.634248692974012</v>
      </c>
    </row>
    <row r="35" spans="1:13" x14ac:dyDescent="0.3">
      <c r="A35">
        <f t="shared" si="0"/>
        <v>34</v>
      </c>
      <c r="B35">
        <v>0.24399999999999999</v>
      </c>
      <c r="C35">
        <v>0.158</v>
      </c>
      <c r="D35">
        <v>5</v>
      </c>
      <c r="E35">
        <v>2</v>
      </c>
      <c r="F35">
        <v>3</v>
      </c>
      <c r="G35">
        <v>0</v>
      </c>
      <c r="H35" s="3">
        <v>1</v>
      </c>
      <c r="I35" s="3">
        <v>1</v>
      </c>
      <c r="J35" s="6">
        <v>13.1</v>
      </c>
      <c r="K35" s="6">
        <v>152.69999999999999</v>
      </c>
      <c r="L35" s="6">
        <v>55.4</v>
      </c>
      <c r="M35">
        <f t="shared" si="2"/>
        <v>23.759193285326042</v>
      </c>
    </row>
    <row r="36" spans="1:13" x14ac:dyDescent="0.3">
      <c r="A36">
        <f t="shared" si="0"/>
        <v>35</v>
      </c>
      <c r="B36">
        <v>0.54500000000000004</v>
      </c>
      <c r="C36">
        <v>0.29699999999999999</v>
      </c>
      <c r="D36">
        <v>3</v>
      </c>
      <c r="E36">
        <v>4</v>
      </c>
      <c r="F36">
        <v>2</v>
      </c>
      <c r="G36">
        <v>3</v>
      </c>
      <c r="H36" s="3">
        <v>1</v>
      </c>
      <c r="I36" s="3">
        <v>1</v>
      </c>
      <c r="J36" s="6">
        <v>13.1</v>
      </c>
      <c r="K36" s="6">
        <v>156.9</v>
      </c>
      <c r="L36" s="6">
        <v>49.5</v>
      </c>
      <c r="M36">
        <f t="shared" si="2"/>
        <v>20.107557151161306</v>
      </c>
    </row>
    <row r="37" spans="1:13" x14ac:dyDescent="0.3">
      <c r="A37">
        <f t="shared" si="0"/>
        <v>36</v>
      </c>
      <c r="B37">
        <v>0.17100000000000001</v>
      </c>
      <c r="C37">
        <v>0.16600000000000001</v>
      </c>
      <c r="D37">
        <v>3</v>
      </c>
      <c r="E37">
        <v>3</v>
      </c>
      <c r="F37">
        <v>0</v>
      </c>
      <c r="G37">
        <v>0</v>
      </c>
      <c r="H37" s="3">
        <v>0</v>
      </c>
      <c r="I37" s="5">
        <v>2</v>
      </c>
      <c r="J37" s="6">
        <v>13.1</v>
      </c>
      <c r="K37" s="6">
        <v>158.1</v>
      </c>
      <c r="L37" s="6">
        <v>61.3</v>
      </c>
      <c r="M37">
        <f t="shared" si="2"/>
        <v>24.524306468215819</v>
      </c>
    </row>
    <row r="38" spans="1:13" x14ac:dyDescent="0.3">
      <c r="A38">
        <f t="shared" si="0"/>
        <v>37</v>
      </c>
      <c r="B38">
        <v>0.16400000000000001</v>
      </c>
      <c r="C38">
        <v>0.121</v>
      </c>
      <c r="D38">
        <v>4</v>
      </c>
      <c r="E38">
        <v>0</v>
      </c>
      <c r="F38">
        <v>4</v>
      </c>
      <c r="G38">
        <v>0</v>
      </c>
      <c r="H38" s="3">
        <v>0</v>
      </c>
      <c r="I38" s="3">
        <v>1</v>
      </c>
      <c r="J38" s="6">
        <v>12.9</v>
      </c>
      <c r="K38" s="6">
        <v>167.9</v>
      </c>
      <c r="L38" s="6">
        <v>75.5</v>
      </c>
      <c r="M38">
        <f t="shared" si="2"/>
        <v>26.782157478376508</v>
      </c>
    </row>
    <row r="39" spans="1:13" x14ac:dyDescent="0.3">
      <c r="A39">
        <f t="shared" si="0"/>
        <v>38</v>
      </c>
      <c r="B39">
        <v>0.18</v>
      </c>
      <c r="C39">
        <v>0.182</v>
      </c>
      <c r="D39">
        <v>3</v>
      </c>
      <c r="E39">
        <v>2</v>
      </c>
      <c r="F39">
        <v>0</v>
      </c>
      <c r="G39">
        <v>0</v>
      </c>
      <c r="H39" s="3">
        <v>0</v>
      </c>
      <c r="I39" s="5">
        <v>2</v>
      </c>
      <c r="J39" s="6">
        <v>12.3</v>
      </c>
      <c r="K39" s="6">
        <v>167.9</v>
      </c>
      <c r="L39" s="6">
        <v>77.5</v>
      </c>
      <c r="M39">
        <f t="shared" si="2"/>
        <v>27.491618603631515</v>
      </c>
    </row>
    <row r="40" spans="1:13" x14ac:dyDescent="0.3">
      <c r="A40">
        <f t="shared" si="0"/>
        <v>39</v>
      </c>
      <c r="B40">
        <v>0.55200000000000005</v>
      </c>
      <c r="C40">
        <v>0.192</v>
      </c>
      <c r="D40">
        <v>2</v>
      </c>
      <c r="E40">
        <v>6</v>
      </c>
      <c r="F40">
        <v>5</v>
      </c>
      <c r="G40">
        <v>11</v>
      </c>
      <c r="H40" s="3">
        <v>1</v>
      </c>
      <c r="I40" s="3">
        <v>1</v>
      </c>
      <c r="J40" s="6">
        <v>13</v>
      </c>
      <c r="K40" s="6">
        <v>166.1</v>
      </c>
      <c r="L40" s="6">
        <v>66.3</v>
      </c>
      <c r="M40">
        <f t="shared" si="2"/>
        <v>24.031133910684648</v>
      </c>
    </row>
    <row r="41" spans="1:13" x14ac:dyDescent="0.3">
      <c r="A41">
        <f t="shared" si="0"/>
        <v>40</v>
      </c>
      <c r="B41">
        <v>0.27</v>
      </c>
      <c r="C41">
        <v>8.2000000000000003E-2</v>
      </c>
      <c r="D41">
        <v>3</v>
      </c>
      <c r="E41">
        <v>5</v>
      </c>
      <c r="F41">
        <v>2</v>
      </c>
      <c r="G41">
        <v>2</v>
      </c>
      <c r="H41" s="3">
        <v>1</v>
      </c>
      <c r="I41" s="3">
        <v>1</v>
      </c>
      <c r="J41" s="6">
        <v>12.4</v>
      </c>
      <c r="K41" s="6">
        <v>161.69999999999999</v>
      </c>
      <c r="L41" s="6">
        <v>60.5</v>
      </c>
      <c r="M41">
        <f t="shared" si="2"/>
        <v>23.138507103521682</v>
      </c>
    </row>
    <row r="42" spans="1:13" x14ac:dyDescent="0.3">
      <c r="A42">
        <f t="shared" si="0"/>
        <v>41</v>
      </c>
      <c r="B42">
        <v>0.24299999999999999</v>
      </c>
      <c r="C42">
        <v>0.16200000000000001</v>
      </c>
      <c r="D42">
        <v>5</v>
      </c>
      <c r="E42">
        <v>5</v>
      </c>
      <c r="F42">
        <v>3</v>
      </c>
      <c r="G42">
        <v>5</v>
      </c>
      <c r="H42" s="3">
        <v>1</v>
      </c>
      <c r="I42" s="3">
        <v>1</v>
      </c>
      <c r="J42" s="6">
        <v>12.3</v>
      </c>
      <c r="K42" s="6">
        <v>163.69999999999999</v>
      </c>
      <c r="L42" s="6">
        <v>58.5</v>
      </c>
      <c r="M42">
        <f t="shared" si="2"/>
        <v>21.830239845300103</v>
      </c>
    </row>
    <row r="43" spans="1:13" x14ac:dyDescent="0.3">
      <c r="A43">
        <f t="shared" si="0"/>
        <v>42</v>
      </c>
      <c r="B43">
        <v>0.35699999999999998</v>
      </c>
      <c r="C43">
        <v>0.252</v>
      </c>
      <c r="D43">
        <v>3</v>
      </c>
      <c r="E43">
        <v>3</v>
      </c>
      <c r="F43">
        <v>0</v>
      </c>
      <c r="G43">
        <v>0</v>
      </c>
      <c r="H43" s="3">
        <v>1</v>
      </c>
      <c r="I43" s="3">
        <v>1</v>
      </c>
      <c r="J43" s="6">
        <v>13.2</v>
      </c>
      <c r="K43" s="6">
        <v>160.5</v>
      </c>
      <c r="L43" s="6">
        <v>49.8</v>
      </c>
      <c r="M43">
        <f t="shared" si="2"/>
        <v>19.332110519113751</v>
      </c>
    </row>
    <row r="44" spans="1:13" x14ac:dyDescent="0.3">
      <c r="A44">
        <f t="shared" si="0"/>
        <v>43</v>
      </c>
      <c r="B44">
        <v>0.40799999999999997</v>
      </c>
      <c r="C44">
        <v>0.14599999999999999</v>
      </c>
      <c r="D44">
        <v>10</v>
      </c>
      <c r="E44">
        <v>2</v>
      </c>
      <c r="F44">
        <v>7</v>
      </c>
      <c r="G44">
        <v>1</v>
      </c>
      <c r="H44" s="3">
        <v>0</v>
      </c>
      <c r="I44" s="3">
        <v>1</v>
      </c>
      <c r="J44" s="6">
        <v>12.6</v>
      </c>
      <c r="K44" s="6">
        <v>147.6</v>
      </c>
      <c r="L44" s="6">
        <v>51.5</v>
      </c>
      <c r="M44">
        <f t="shared" si="2"/>
        <v>23.639294658529241</v>
      </c>
    </row>
    <row r="45" spans="1:13" x14ac:dyDescent="0.3">
      <c r="A45">
        <f t="shared" si="0"/>
        <v>44</v>
      </c>
      <c r="B45">
        <v>0.123</v>
      </c>
      <c r="C45">
        <v>0.13400000000000001</v>
      </c>
      <c r="D45">
        <v>5</v>
      </c>
      <c r="E45">
        <v>3</v>
      </c>
      <c r="F45">
        <v>0</v>
      </c>
      <c r="G45">
        <v>0</v>
      </c>
      <c r="H45" s="3">
        <v>0</v>
      </c>
      <c r="I45" s="3">
        <v>1</v>
      </c>
      <c r="J45" s="6">
        <v>12.8</v>
      </c>
      <c r="K45" s="6">
        <v>156</v>
      </c>
      <c r="L45" s="6">
        <v>72</v>
      </c>
      <c r="M45">
        <f t="shared" si="2"/>
        <v>29.585798816568044</v>
      </c>
    </row>
    <row r="46" spans="1:13" x14ac:dyDescent="0.3">
      <c r="A46">
        <f t="shared" si="0"/>
        <v>45</v>
      </c>
      <c r="B46">
        <v>0.26200000000000001</v>
      </c>
      <c r="C46">
        <v>0.159</v>
      </c>
      <c r="D46">
        <v>7</v>
      </c>
      <c r="E46">
        <v>5</v>
      </c>
      <c r="F46">
        <v>7</v>
      </c>
      <c r="G46">
        <v>7</v>
      </c>
      <c r="H46" s="3">
        <v>0</v>
      </c>
      <c r="I46" s="3">
        <v>1</v>
      </c>
      <c r="J46" s="6">
        <v>13.2</v>
      </c>
      <c r="K46" s="6">
        <v>155.1</v>
      </c>
      <c r="L46" s="6">
        <v>45.6</v>
      </c>
      <c r="M46">
        <f t="shared" si="2"/>
        <v>18.955761990454778</v>
      </c>
    </row>
    <row r="47" spans="1:13" x14ac:dyDescent="0.3">
      <c r="A47">
        <f t="shared" si="0"/>
        <v>46</v>
      </c>
      <c r="B47">
        <v>0.27600000000000002</v>
      </c>
      <c r="C47">
        <v>0.13600000000000001</v>
      </c>
      <c r="D47">
        <v>12</v>
      </c>
      <c r="E47">
        <v>7</v>
      </c>
      <c r="F47">
        <v>14</v>
      </c>
      <c r="G47">
        <v>2</v>
      </c>
      <c r="H47" s="3">
        <v>0</v>
      </c>
      <c r="I47" s="3">
        <v>1</v>
      </c>
      <c r="J47" s="6">
        <v>12.3</v>
      </c>
      <c r="K47" s="6">
        <v>157.80000000000001</v>
      </c>
      <c r="L47" s="6">
        <v>50.4</v>
      </c>
      <c r="M47">
        <f t="shared" si="2"/>
        <v>20.24028105075973</v>
      </c>
    </row>
    <row r="48" spans="1:13" x14ac:dyDescent="0.3">
      <c r="H48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이인호</cp:lastModifiedBy>
  <dcterms:created xsi:type="dcterms:W3CDTF">2025-06-16T06:45:45Z</dcterms:created>
  <dcterms:modified xsi:type="dcterms:W3CDTF">2026-03-22T23:36:54Z</dcterms:modified>
</cp:coreProperties>
</file>